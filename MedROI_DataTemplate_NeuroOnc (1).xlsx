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Inputs" sheetId="1" state="visible" r:id="rId3"/>
    <sheet name="NPV-IRR Summary" sheetId="2" state="visible" r:id="rId4"/>
    <sheet name="Data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<sst xmlns="http://schemas.openxmlformats.org/spreadsheetml/2006/main" count="340" uniqueCount="232">
  <si>
    <t xml:space="preserve">MedROI — Neuro Oncology Service Line: Data Collection Template</t>
  </si>
  <si>
    <t xml:space="preserve">New Build vs. Renovation Analysis  |  Inputs highlighted in blue are placeholders — replace with actuals</t>
  </si>
  <si>
    <t xml:space="preserve">Input</t>
  </si>
  <si>
    <t xml:space="preserve">Value</t>
  </si>
  <si>
    <t xml:space="preserve">Unit</t>
  </si>
  <si>
    <t xml:space="preserve">Data Status</t>
  </si>
  <si>
    <t xml:space="preserve">Source / Notes</t>
  </si>
  <si>
    <t xml:space="preserve">A.  FACILITY &amp; CAPITAL INPUTS</t>
  </si>
  <si>
    <t xml:space="preserve">Construction cost — Renovation ($/SF)</t>
  </si>
  <si>
    <t xml:space="preserve">$/SF</t>
  </si>
  <si>
    <t xml:space="preserve">Assumed / Placeholder</t>
  </si>
  <si>
    <t xml:space="preserve">RVIA benchmark ~$400–500/SF for major healthcare reno (2024). Increase 10–15% for significant code gaps.</t>
  </si>
  <si>
    <t xml:space="preserve">Construction cost — New Build ($/SF)</t>
  </si>
  <si>
    <t xml:space="preserve">Healthcare new build benchmark ~$575–675/SF mid-market (Gordian/RSMeans 2024).</t>
  </si>
  <si>
    <t xml:space="preserve">Total program SF — Neuro Oncology</t>
  </si>
  <si>
    <t xml:space="preserve">SF</t>
  </si>
  <si>
    <t xml:space="preserve">Includes clinic, infusion bays, imaging support, waiting, admin. Benchmark ~1,200 SF/exam room equivalent.</t>
  </si>
  <si>
    <t xml:space="preserve">Number of treatment/exam rooms</t>
  </si>
  <si>
    <t xml:space="preserve">rooms</t>
  </si>
  <si>
    <t xml:space="preserve">Current state: estimate based on 50% capacity utilization of existing footprint.</t>
  </si>
  <si>
    <t xml:space="preserve">Soft costs (% of hard cost)</t>
  </si>
  <si>
    <t xml:space="preserve">%</t>
  </si>
  <si>
    <t xml:space="preserve">Architect, engineering, permits, FF&amp;E, owner's costs. Typical range 25–32%.</t>
  </si>
  <si>
    <t xml:space="preserve">Construction contingency</t>
  </si>
  <si>
    <t xml:space="preserve">10% for reno (higher risk), 8% acceptable for new build if design is advanced.</t>
  </si>
  <si>
    <t xml:space="preserve">Escalation (annual construction inflation)</t>
  </si>
  <si>
    <t xml:space="preserve">4–5% annually current market. Apply to future start dates.</t>
  </si>
  <si>
    <t xml:space="preserve">Deferred maintenance — existing buildings</t>
  </si>
  <si>
    <t xml:space="preserve">$</t>
  </si>
  <si>
    <t xml:space="preserve">CONFIRMED: $20M current deferred maintenance load on two buildings.</t>
  </si>
  <si>
    <t xml:space="preserve">Annual ongoing deferred maint. (status quo)</t>
  </si>
  <si>
    <t xml:space="preserve">$/yr</t>
  </si>
  <si>
    <t xml:space="preserve">Estimated ~11% of total deferred load/yr if buildings are retained. Replace with FY actual.</t>
  </si>
  <si>
    <t xml:space="preserve">Site/land cost — New Build only</t>
  </si>
  <si>
    <t xml:space="preserve">Placeholder. Depends heavily on owned vs. acquired land. Set to $0 if org owns site.</t>
  </si>
  <si>
    <t xml:space="preserve">Demolition / disposal cost</t>
  </si>
  <si>
    <t xml:space="preserve">If existing buildings are vacated and razed. May offset if sold.</t>
  </si>
  <si>
    <t xml:space="preserve">Swing space / temp relocation cost</t>
  </si>
  <si>
    <t xml:space="preserve">Reno scenario only. Estimate for temporary clinic space during phased construction.</t>
  </si>
  <si>
    <t xml:space="preserve">Useful life — Renovation</t>
  </si>
  <si>
    <t xml:space="preserve">years</t>
  </si>
  <si>
    <t xml:space="preserve">Conservative for major reno of aging building. New build typically 30–40 years.</t>
  </si>
  <si>
    <t xml:space="preserve">Useful life — New Build</t>
  </si>
  <si>
    <t xml:space="preserve">Standard for ground-up healthcare facility.</t>
  </si>
  <si>
    <t xml:space="preserve">Discount rate (WACC)</t>
  </si>
  <si>
    <t xml:space="preserve">Many not-for-profit health systems use 6–7%. Confirm with finance.</t>
  </si>
  <si>
    <t xml:space="preserve">Financing rate (bond / debt)</t>
  </si>
  <si>
    <t xml:space="preserve">Current tax-exempt bond approximation. Confirm with treasury.</t>
  </si>
  <si>
    <t xml:space="preserve">Financing term</t>
  </si>
  <si>
    <t xml:space="preserve">Typical for healthcare capital project bond financing.</t>
  </si>
  <si>
    <t xml:space="preserve">Residual / salvage value — existing bldgs</t>
  </si>
  <si>
    <t xml:space="preserve">Low given out-of-code status. Could be negative if demo cost exceeds sale proceeds.</t>
  </si>
  <si>
    <t xml:space="preserve">B.  VOLUME &amp; REVENUE INPUTS</t>
  </si>
  <si>
    <t xml:space="preserve">Current annual patient encounters — Neuro Onc</t>
  </si>
  <si>
    <t xml:space="preserve">encounters/yr</t>
  </si>
  <si>
    <t xml:space="preserve">Placeholder. Pull from EHR by CPT/DRG. Includes clinic, infusion, consults.</t>
  </si>
  <si>
    <t xml:space="preserve">Estimated capacity-constrained volume (lost/deferred)</t>
  </si>
  <si>
    <t xml:space="preserve">No turn-away data available. Proxy: 18–25% of current volume based on waitlist signal and peer benchmarks.</t>
  </si>
  <si>
    <t xml:space="preserve">Market leakage — patients going to competitors</t>
  </si>
  <si>
    <t xml:space="preserve">Proxy until Sg2/Strata claims data available. Addressable market capture opportunity.</t>
  </si>
  <si>
    <t xml:space="preserve">Projected volume growth rate — market</t>
  </si>
  <si>
    <t xml:space="preserve">%/yr</t>
  </si>
  <si>
    <t xml:space="preserve">Neuro Oncology demand growing ~4–6%/yr nationally (aging population, incidence trend).</t>
  </si>
  <si>
    <t xml:space="preserve">Incremental volume capture — new facility (Yr 1–3 ramp)</t>
  </si>
  <si>
    <t xml:space="preserve">% of leakage</t>
  </si>
  <si>
    <t xml:space="preserve">Conservative: assume 40% of leakage capturable within 3 years of new facility opening.</t>
  </si>
  <si>
    <t xml:space="preserve">Net revenue per encounter — clinic visit</t>
  </si>
  <si>
    <t xml:space="preserve">$/encounter</t>
  </si>
  <si>
    <t xml:space="preserve">Blended net after contractual adjustments. Confirm with finance/CDM.</t>
  </si>
  <si>
    <t xml:space="preserve">Net revenue per encounter — infusion</t>
  </si>
  <si>
    <t xml:space="preserve">Oncology drug margin is primary value driver. Confirm with pharmacy/finance.</t>
  </si>
  <si>
    <t xml:space="preserve">Net revenue per encounter — imaging (MRI/CT)</t>
  </si>
  <si>
    <t xml:space="preserve">Neuro Onc drives significant downstream imaging volume. Often underweighted in models.</t>
  </si>
  <si>
    <t xml:space="preserve">Payer mix — Commercial</t>
  </si>
  <si>
    <t xml:space="preserve">Placeholder. Neuro Onc skews older/Medicare-heavy. Confirm with revenue cycle.</t>
  </si>
  <si>
    <t xml:space="preserve">Payer mix — Medicare</t>
  </si>
  <si>
    <t xml:space="preserve">Payer mix — Medicaid / managed Medicaid</t>
  </si>
  <si>
    <t xml:space="preserve">Payer mix — Self-pay / other</t>
  </si>
  <si>
    <t xml:space="preserve">Downstream revenue multiplier (per clinic encounter)</t>
  </si>
  <si>
    <t xml:space="preserve">x</t>
  </si>
  <si>
    <t xml:space="preserve">For every $1 clinic net rev, ~$2.40 additional downstream (imaging, infusion, surgery referrals).</t>
  </si>
  <si>
    <t xml:space="preserve">Physician recruitment cost (if adding FTE)</t>
  </si>
  <si>
    <t xml:space="preserve">$/physician</t>
  </si>
  <si>
    <t xml:space="preserve">Search firm, signing bonus, income guarantee. Typical range $150–220K.</t>
  </si>
  <si>
    <t xml:space="preserve">Ramp-up period to full volume</t>
  </si>
  <si>
    <t xml:space="preserve">Year 1: 50% of incremental volume. Year 2: 75%. Year 3: 100%.</t>
  </si>
  <si>
    <t xml:space="preserve">Annual reimbursement rate trend</t>
  </si>
  <si>
    <t xml:space="preserve">Medicare rate pressure ~(1.5–2.0)% annually. Apply as headwind to revenue projection.</t>
  </si>
  <si>
    <t xml:space="preserve">C.  OPERATING COST INPUTS</t>
  </si>
  <si>
    <t xml:space="preserve">Annual facilities operating cost — current buildings</t>
  </si>
  <si>
    <t xml:space="preserve">Utilities, housekeeping, maintenance labor, security. Replace with actuals from FM.</t>
  </si>
  <si>
    <t xml:space="preserve">Annual facilities operating cost — renovated</t>
  </si>
  <si>
    <t xml:space="preserve">Assumes improved efficiency but same footprint. ~15% reduction from current.</t>
  </si>
  <si>
    <t xml:space="preserve">Annual facilities operating cost — new build</t>
  </si>
  <si>
    <t xml:space="preserve">New construction efficiency gains. ~32% reduction vs. current. Replace with FM estimate.</t>
  </si>
  <si>
    <t xml:space="preserve">Clinical FTEs — current staffing</t>
  </si>
  <si>
    <t xml:space="preserve">FTE</t>
  </si>
  <si>
    <t xml:space="preserve">Nurses, MAs, schedulers, care coordinators. Pull from HR.</t>
  </si>
  <si>
    <t xml:space="preserve">Average clinical staff salary + benefits</t>
  </si>
  <si>
    <t xml:space="preserve">$/FTE/yr</t>
  </si>
  <si>
    <t xml:space="preserve">Blended rate. Benefits load typically 28–32% on top of base. Confirm with HR.</t>
  </si>
  <si>
    <t xml:space="preserve">Incremental FTEs needed — renovated scenario</t>
  </si>
  <si>
    <t xml:space="preserve">To serve incremental volume. Based on productivity benchmarks.</t>
  </si>
  <si>
    <t xml:space="preserve">Incremental FTEs needed — new build scenario</t>
  </si>
  <si>
    <t xml:space="preserve">Higher incremental volume capture in new build scenario.</t>
  </si>
  <si>
    <t xml:space="preserve">Equipment capital — infusion chairs &amp; clinical equip.</t>
  </si>
  <si>
    <t xml:space="preserve">Both scenarios. Replace/add infusion chairs, pumps, procedure equipment.</t>
  </si>
  <si>
    <t xml:space="preserve">Equipment capital — imaging (if relocating/adding)</t>
  </si>
  <si>
    <t xml:space="preserve">MRI upgrade or dedicated scanner. New build may include dedicated neuro imaging.</t>
  </si>
  <si>
    <t xml:space="preserve">IT / infrastructure build-out</t>
  </si>
  <si>
    <t xml:space="preserve">Network, nurse call, security, EHR terminals, telehealth infrastructure.</t>
  </si>
  <si>
    <t xml:space="preserve">Overhead allocation rate</t>
  </si>
  <si>
    <t xml:space="preserve">18% of net revenue as overhead allocation. Confirm with finance — varies by org.</t>
  </si>
  <si>
    <t xml:space="preserve">Contribution margin — target (steady state)</t>
  </si>
  <si>
    <t xml:space="preserve">Neuro Onc benchmark CM: 18–28%. Infusion drug margin is the key driver.</t>
  </si>
  <si>
    <t xml:space="preserve">Annual staff turnover cost (current)</t>
  </si>
  <si>
    <t xml:space="preserve">Estimated based on 15% turnover × avg replacement cost $100K. Substandard space is a driver.</t>
  </si>
  <si>
    <t xml:space="preserve">Annual compliance/regulatory risk reserve</t>
  </si>
  <si>
    <t xml:space="preserve">For out-of-code buildings. Placeholder for potential citation remediation, fines.</t>
  </si>
  <si>
    <t xml:space="preserve">Color Key</t>
  </si>
  <si>
    <t xml:space="preserve">Blue text = hardcoded input (placeholder — replace with actual)</t>
  </si>
  <si>
    <t xml:space="preserve">Black text = formula / calculated</t>
  </si>
  <si>
    <t xml:space="preserve">Light blue cell fill = input requiring validation or update</t>
  </si>
  <si>
    <t xml:space="preserve">MedROI — 10-Year NPV / IRR Summary: Neuro Oncology</t>
  </si>
  <si>
    <t xml:space="preserve">All values in $000s  |  Blue = input   Black = formula   Discount rate pulled from Data Inputs tab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</si>
  <si>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</si>
  <si>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</si>
  <si>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</si>
  <si>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</si>
  <si>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</si>
  <si>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</si>
  <si>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</si>
  <si>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</si>
  <si>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</si>
  <si>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</si>
  <si>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</si>
  <si>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SCENARIO 1 — RENOVATION (placeholder assumptions)</t>
  </si>
  <si>
    <t xml:space="preserve">Capital expenditure ($000)</t>
  </si>
  <si>
    <t xml:space="preserve">Incremental net revenue ($000)</t>
  </si>
  <si>
    <t xml:space="preserve">Operating costs ($000)</t>
  </si>
  <si>
    <t xml:space="preserve">Deferred maint. avoided ($000)</t>
  </si>
  <si>
    <t xml:space="preserve">Net cash flow ($000)</t>
  </si>
  <si>
    <t xml:space="preserve">Discounted cash flow ($000)</t>
  </si>
  <si>
    <t xml:space="preserve">NPV (sum of DCF, $000)</t>
  </si>
  <si>
    <t xml:space="preserve">IRR (10-year)</t>
  </si>
  <si>
    <t xml:space="preserve">Simple payback (years)</t>
  </si>
  <si>
    <t xml:space="preserve">SCENARIO 2 — NEW BUILD (placeholder assumptions)</t>
  </si>
  <si>
    <t xml:space="preserve">SCENARIO 3 — STATUS QUO (retain buildings, no investment) — cost burden reference</t>
  </si>
  <si>
    <t xml:space="preserve">Annual deferred maint. cost ($000)</t>
  </si>
  <si>
    <t xml:space="preserve">Annual compliance risk reserve ($000)</t>
  </si>
  <si>
    <t xml:space="preserve">Annual staff turnover cost ($000)</t>
  </si>
  <si>
    <t xml:space="preserve">Total status quo cost burden ($000)</t>
  </si>
  <si>
    <t xml:space="preserve">MedROI — Data Collection Tracker: Who Owns What</t>
  </si>
  <si>
    <t xml:space="preserve">Use this sheet to track outstanding data requests. Update 'Data Inputs' once actuals are confirmed.</t>
  </si>
  <si>
    <t xml:space="preserve">Data Point</t>
  </si>
  <si>
    <t xml:space="preserve">Placeholder Value</t>
  </si>
  <si>
    <t xml:space="preserve">Actual / Confirmed</t>
  </si>
  <si>
    <t xml:space="preserve">Owner / Source</t>
  </si>
  <si>
    <t xml:space="preserve">Priority</t>
  </si>
  <si>
    <t xml:space="preserve">Notes</t>
  </si>
  <si>
    <t xml:space="preserve">Construction cost/SF — Renovation</t>
  </si>
  <si>
    <t xml:space="preserve">$450/SF</t>
  </si>
  <si>
    <t xml:space="preserve">Facilities / Capital Planning</t>
  </si>
  <si>
    <t xml:space="preserve">HIGH</t>
  </si>
  <si>
    <t xml:space="preserve">Get from facilities master plan or cost estimator. Confirm scope assumptions.</t>
  </si>
  <si>
    <t xml:space="preserve">Construction cost/SF — New Build</t>
  </si>
  <si>
    <t xml:space="preserve">$620/SF</t>
  </si>
  <si>
    <t xml:space="preserve">Benchmark only — get actual schematic design estimate when available.</t>
  </si>
  <si>
    <t xml:space="preserve">Total program SF requirements</t>
  </si>
  <si>
    <t xml:space="preserve">28,000 SF</t>
  </si>
  <si>
    <t xml:space="preserve">Design / Space Planning</t>
  </si>
  <si>
    <t xml:space="preserve">Validate with Neuro Onc leadership and operational model.</t>
  </si>
  <si>
    <t xml:space="preserve">Deferred maintenance load — confirmed</t>
  </si>
  <si>
    <t xml:space="preserve">$20,000,000</t>
  </si>
  <si>
    <t xml:space="preserve">$20,000,000 ✓</t>
  </si>
  <si>
    <t xml:space="preserve">Facilities Management</t>
  </si>
  <si>
    <t xml:space="preserve">CONFIRMED</t>
  </si>
  <si>
    <t xml:space="preserve">Confirmed per conversation. Pull FM capital needs assessment report as backup.</t>
  </si>
  <si>
    <t xml:space="preserve">Annual deferred maint. run rate</t>
  </si>
  <si>
    <t xml:space="preserve">$2,200,000/yr</t>
  </si>
  <si>
    <t xml:space="preserve">Ask FM: 'What is the annual cost to maintain these buildings at current state?'</t>
  </si>
  <si>
    <t xml:space="preserve">Current annual encounter volume — Neuro Onc</t>
  </si>
  <si>
    <t xml:space="preserve">4,800 enc/yr</t>
  </si>
  <si>
    <t xml:space="preserve">Analytics / EHR</t>
  </si>
  <si>
    <t xml:space="preserve">Run by CPT family: 99xxx clinic, 96xxx infusion, plus surgical referrals.</t>
  </si>
  <si>
    <t xml:space="preserve">Market leakage / competitor volume</t>
  </si>
  <si>
    <t xml:space="preserve">2,200 enc/yr</t>
  </si>
  <si>
    <t xml:space="preserve">Strategy / Sg2 / Strata</t>
  </si>
  <si>
    <t xml:space="preserve">No turn-away data available. Proxy with claims-based leakage report.</t>
  </si>
  <si>
    <t xml:space="preserve">Net revenue per encounter — clinic</t>
  </si>
  <si>
    <t xml:space="preserve">$385</t>
  </si>
  <si>
    <t xml:space="preserve">Finance / Revenue Cycle</t>
  </si>
  <si>
    <t xml:space="preserve">Pull from service line P&amp;L or CDM by CPT. Net of contractuals.</t>
  </si>
  <si>
    <t xml:space="preserve">$2,800</t>
  </si>
  <si>
    <t xml:space="preserve">Finance / Pharmacy</t>
  </si>
  <si>
    <t xml:space="preserve">Oncology drug net margin is largest revenue driver. Critical to get right.</t>
  </si>
  <si>
    <t xml:space="preserve">Payer mix — Neuro Onc</t>
  </si>
  <si>
    <t xml:space="preserve">48% Medicare / 31% Comm.</t>
  </si>
  <si>
    <t xml:space="preserve">Revenue Cycle</t>
  </si>
  <si>
    <t xml:space="preserve">MEDIUM</t>
  </si>
  <si>
    <t xml:space="preserve">Pull from EHR by payer class for Neuro Onc encounters last 12 months.</t>
  </si>
  <si>
    <t xml:space="preserve">Facilities operating cost — current buildings</t>
  </si>
  <si>
    <t xml:space="preserve">$3,800,000/yr</t>
  </si>
  <si>
    <t xml:space="preserve">Facilities / Finance</t>
  </si>
  <si>
    <t xml:space="preserve">Get utilities + maintenance labor + housekeeping from FM operating budget.</t>
  </si>
  <si>
    <t xml:space="preserve">Physician FTE count — current</t>
  </si>
  <si>
    <t xml:space="preserve">28 clinical FTE</t>
  </si>
  <si>
    <t xml:space="preserve">HR / Workforce</t>
  </si>
  <si>
    <t xml:space="preserve">Confirm headcount by role type. Include employed and contracted.</t>
  </si>
  <si>
    <t xml:space="preserve">Annual staff turnover cost</t>
  </si>
  <si>
    <t xml:space="preserve">$420,000/yr</t>
  </si>
  <si>
    <t xml:space="preserve">HR / Finance</t>
  </si>
  <si>
    <t xml:space="preserve">Estimate from HR: avg replacement cost × annual turnover count in dept.</t>
  </si>
  <si>
    <t xml:space="preserve">6.5%</t>
  </si>
  <si>
    <t xml:space="preserve">Finance / Treasury</t>
  </si>
  <si>
    <t xml:space="preserve">Ask finance what hurdle rate they use for capital project NPV.</t>
  </si>
  <si>
    <t xml:space="preserve">Financing rate and structure</t>
  </si>
  <si>
    <t xml:space="preserve">5.2% / 25-yr bond</t>
  </si>
  <si>
    <t xml:space="preserve">Confirm bond market rate and whether project would be financed vs. cash.</t>
  </si>
  <si>
    <t xml:space="preserve">Equipment capital needs</t>
  </si>
  <si>
    <t xml:space="preserve">$6,000,000</t>
  </si>
  <si>
    <t xml:space="preserve">Clinical / Finance</t>
  </si>
  <si>
    <t xml:space="preserve">Infusion chairs + imaging. Confirm with Neuro Onc medical director.</t>
  </si>
  <si>
    <t xml:space="preserve">Site/land availability — New Build</t>
  </si>
  <si>
    <t xml:space="preserve">TBD</t>
  </si>
  <si>
    <t xml:space="preserve">Real Estate / Strategy</t>
  </si>
  <si>
    <t xml:space="preserve">LOW</t>
  </si>
  <si>
    <t xml:space="preserve">Is there owned land available? If not, what is acquisition cost estimate?</t>
  </si>
  <si>
    <t xml:space="preserve">Physician recruitment pipeline</t>
  </si>
  <si>
    <t xml:space="preserve">$180K/physician</t>
  </si>
  <si>
    <t xml:space="preserve">Physician Relations / HR</t>
  </si>
  <si>
    <t xml:space="preserve">How many additional physicians needed and over what timeline?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</si>
</sst>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#,##0"/>
    <numFmt numFmtId="167" formatCode="0.0%"/>
    <numFmt numFmtId="168" formatCode="0.0\x"/>
    <numFmt numFmtId="169" formatCode="&quot;($&quot;#,##0\);\-"/>
    <numFmt numFmtId="170" formatCode="\$#,##0;\-"/>
    <numFmt numFmtId="171" formatCode="\$#,##0;&quot;($&quot;#,##0\);\-"/>
    <numFmt numFmtId="172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2EFDA"/>
      </patternFill>
    </fill>
    <fill>
      <patternFill patternType="solid">
        <fgColor rgb="FF375623"/>
        <bgColor rgb="FF595959"/>
      </patternFill>
    </fill>
    <fill>
      <patternFill patternType="solid">
        <fgColor rgb="FF843C0C"/>
        <bgColor rgb="FF99336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1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8" hidden="false" customHeight="true" outlineLevel="0" collapsed="false">
      <c r="A4" s="4" t="s">
        <v>7</v>
      </c>
      <c r="B4" s="4"/>
      <c r="C4" s="4"/>
      <c r="D4" s="4"/>
      <c r="E4" s="4"/>
    </row>
    <row r="5" customFormat="false" ht="30" hidden="false" customHeight="true" outlineLevel="0" collapsed="false">
      <c r="A5" s="5" t="s">
        <v>8</v>
      </c>
      <c r="B5" s="6" t="n">
        <v>450</v>
      </c>
      <c r="C5" s="7" t="s">
        <v>9</v>
      </c>
      <c r="D5" s="7" t="s">
        <v>10</v>
      </c>
      <c r="E5" s="8" t="s">
        <v>11</v>
      </c>
    </row>
    <row r="6" customFormat="false" ht="30" hidden="false" customHeight="true" outlineLevel="0" collapsed="false">
      <c r="A6" s="5" t="s">
        <v>12</v>
      </c>
      <c r="B6" s="6" t="n">
        <v>620</v>
      </c>
      <c r="C6" s="7" t="s">
        <v>9</v>
      </c>
      <c r="D6" s="7" t="s">
        <v>10</v>
      </c>
      <c r="E6" s="8" t="s">
        <v>13</v>
      </c>
    </row>
    <row r="7" customFormat="false" ht="30" hidden="false" customHeight="true" outlineLevel="0" collapsed="false">
      <c r="A7" s="5" t="s">
        <v>14</v>
      </c>
      <c r="B7" s="9" t="n">
        <v>28000</v>
      </c>
      <c r="C7" s="7" t="s">
        <v>15</v>
      </c>
      <c r="D7" s="7" t="s">
        <v>10</v>
      </c>
      <c r="E7" s="8" t="s">
        <v>16</v>
      </c>
    </row>
    <row r="8" customFormat="false" ht="30" hidden="false" customHeight="true" outlineLevel="0" collapsed="false">
      <c r="A8" s="5" t="s">
        <v>17</v>
      </c>
      <c r="B8" s="9" t="n">
        <v>18</v>
      </c>
      <c r="C8" s="7" t="s">
        <v>18</v>
      </c>
      <c r="D8" s="7" t="s">
        <v>10</v>
      </c>
      <c r="E8" s="8" t="s">
        <v>19</v>
      </c>
    </row>
    <row r="9" customFormat="false" ht="30" hidden="false" customHeight="true" outlineLevel="0" collapsed="false">
      <c r="A9" s="5" t="s">
        <v>20</v>
      </c>
      <c r="B9" s="10" t="n">
        <v>0.28</v>
      </c>
      <c r="C9" s="7" t="s">
        <v>21</v>
      </c>
      <c r="D9" s="7" t="s">
        <v>10</v>
      </c>
      <c r="E9" s="8" t="s">
        <v>22</v>
      </c>
    </row>
    <row r="10" customFormat="false" ht="30" hidden="false" customHeight="true" outlineLevel="0" collapsed="false">
      <c r="A10" s="5" t="s">
        <v>23</v>
      </c>
      <c r="B10" s="10" t="n">
        <v>0.1</v>
      </c>
      <c r="C10" s="7" t="s">
        <v>21</v>
      </c>
      <c r="D10" s="7" t="s">
        <v>10</v>
      </c>
      <c r="E10" s="8" t="s">
        <v>24</v>
      </c>
    </row>
    <row r="11" customFormat="false" ht="30" hidden="false" customHeight="true" outlineLevel="0" collapsed="false">
      <c r="A11" s="5" t="s">
        <v>25</v>
      </c>
      <c r="B11" s="10" t="n">
        <v>0.045</v>
      </c>
      <c r="C11" s="7" t="s">
        <v>21</v>
      </c>
      <c r="D11" s="7" t="s">
        <v>10</v>
      </c>
      <c r="E11" s="8" t="s">
        <v>26</v>
      </c>
    </row>
    <row r="12" customFormat="false" ht="30" hidden="false" customHeight="true" outlineLevel="0" collapsed="false">
      <c r="A12" s="5" t="s">
        <v>27</v>
      </c>
      <c r="B12" s="6" t="n">
        <v>20000000</v>
      </c>
      <c r="C12" s="7" t="s">
        <v>28</v>
      </c>
      <c r="D12" s="7" t="s">
        <v>10</v>
      </c>
      <c r="E12" s="8" t="s">
        <v>29</v>
      </c>
    </row>
    <row r="13" customFormat="false" ht="30" hidden="false" customHeight="true" outlineLevel="0" collapsed="false">
      <c r="A13" s="5" t="s">
        <v>30</v>
      </c>
      <c r="B13" s="6" t="n">
        <v>2200000</v>
      </c>
      <c r="C13" s="7" t="s">
        <v>31</v>
      </c>
      <c r="D13" s="7" t="s">
        <v>10</v>
      </c>
      <c r="E13" s="8" t="s">
        <v>32</v>
      </c>
    </row>
    <row r="14" customFormat="false" ht="30" hidden="false" customHeight="true" outlineLevel="0" collapsed="false">
      <c r="A14" s="5" t="s">
        <v>33</v>
      </c>
      <c r="B14" s="6" t="n">
        <v>4500000</v>
      </c>
      <c r="C14" s="7" t="s">
        <v>28</v>
      </c>
      <c r="D14" s="7" t="s">
        <v>10</v>
      </c>
      <c r="E14" s="8" t="s">
        <v>34</v>
      </c>
    </row>
    <row r="15" customFormat="false" ht="30" hidden="false" customHeight="true" outlineLevel="0" collapsed="false">
      <c r="A15" s="5" t="s">
        <v>35</v>
      </c>
      <c r="B15" s="6" t="n">
        <v>850000</v>
      </c>
      <c r="C15" s="7" t="s">
        <v>28</v>
      </c>
      <c r="D15" s="7" t="s">
        <v>10</v>
      </c>
      <c r="E15" s="8" t="s">
        <v>36</v>
      </c>
    </row>
    <row r="16" customFormat="false" ht="30" hidden="false" customHeight="true" outlineLevel="0" collapsed="false">
      <c r="A16" s="5" t="s">
        <v>37</v>
      </c>
      <c r="B16" s="6" t="n">
        <v>1200000</v>
      </c>
      <c r="C16" s="7" t="s">
        <v>28</v>
      </c>
      <c r="D16" s="7" t="s">
        <v>10</v>
      </c>
      <c r="E16" s="8" t="s">
        <v>38</v>
      </c>
    </row>
    <row r="17" customFormat="false" ht="30" hidden="false" customHeight="true" outlineLevel="0" collapsed="false">
      <c r="A17" s="5" t="s">
        <v>39</v>
      </c>
      <c r="B17" s="9" t="n">
        <v>20</v>
      </c>
      <c r="C17" s="7" t="s">
        <v>40</v>
      </c>
      <c r="D17" s="7" t="s">
        <v>10</v>
      </c>
      <c r="E17" s="8" t="s">
        <v>41</v>
      </c>
    </row>
    <row r="18" customFormat="false" ht="30" hidden="false" customHeight="true" outlineLevel="0" collapsed="false">
      <c r="A18" s="5" t="s">
        <v>42</v>
      </c>
      <c r="B18" s="9" t="n">
        <v>35</v>
      </c>
      <c r="C18" s="7" t="s">
        <v>40</v>
      </c>
      <c r="D18" s="7" t="s">
        <v>10</v>
      </c>
      <c r="E18" s="8" t="s">
        <v>43</v>
      </c>
    </row>
    <row r="19" customFormat="false" ht="30" hidden="false" customHeight="true" outlineLevel="0" collapsed="false">
      <c r="A19" s="5" t="s">
        <v>44</v>
      </c>
      <c r="B19" s="10" t="n">
        <v>0.065</v>
      </c>
      <c r="C19" s="7" t="s">
        <v>21</v>
      </c>
      <c r="D19" s="7" t="s">
        <v>10</v>
      </c>
      <c r="E19" s="8" t="s">
        <v>45</v>
      </c>
    </row>
    <row r="20" customFormat="false" ht="30" hidden="false" customHeight="true" outlineLevel="0" collapsed="false">
      <c r="A20" s="5" t="s">
        <v>46</v>
      </c>
      <c r="B20" s="10" t="n">
        <v>0.052</v>
      </c>
      <c r="C20" s="7" t="s">
        <v>21</v>
      </c>
      <c r="D20" s="7" t="s">
        <v>10</v>
      </c>
      <c r="E20" s="8" t="s">
        <v>47</v>
      </c>
    </row>
    <row r="21" customFormat="false" ht="30" hidden="false" customHeight="true" outlineLevel="0" collapsed="false">
      <c r="A21" s="5" t="s">
        <v>48</v>
      </c>
      <c r="B21" s="9" t="n">
        <v>25</v>
      </c>
      <c r="C21" s="7" t="s">
        <v>40</v>
      </c>
      <c r="D21" s="7" t="s">
        <v>10</v>
      </c>
      <c r="E21" s="8" t="s">
        <v>49</v>
      </c>
    </row>
    <row r="22" customFormat="false" ht="30" hidden="false" customHeight="true" outlineLevel="0" collapsed="false">
      <c r="A22" s="5" t="s">
        <v>50</v>
      </c>
      <c r="B22" s="6" t="n">
        <v>2000000</v>
      </c>
      <c r="C22" s="7" t="s">
        <v>28</v>
      </c>
      <c r="D22" s="7" t="s">
        <v>10</v>
      </c>
      <c r="E22" s="8" t="s">
        <v>51</v>
      </c>
    </row>
    <row r="23" customFormat="false" ht="18" hidden="false" customHeight="true" outlineLevel="0" collapsed="false">
      <c r="A23" s="4" t="s">
        <v>52</v>
      </c>
      <c r="B23" s="4"/>
      <c r="C23" s="4"/>
      <c r="D23" s="4"/>
      <c r="E23" s="4"/>
    </row>
    <row r="24" customFormat="false" ht="30" hidden="false" customHeight="true" outlineLevel="0" collapsed="false">
      <c r="A24" s="5" t="s">
        <v>53</v>
      </c>
      <c r="B24" s="9" t="n">
        <v>4800</v>
      </c>
      <c r="C24" s="7" t="s">
        <v>54</v>
      </c>
      <c r="D24" s="7" t="s">
        <v>10</v>
      </c>
      <c r="E24" s="8" t="s">
        <v>55</v>
      </c>
    </row>
    <row r="25" customFormat="false" ht="30" hidden="false" customHeight="true" outlineLevel="0" collapsed="false">
      <c r="A25" s="5" t="s">
        <v>56</v>
      </c>
      <c r="B25" s="9" t="n">
        <v>1100</v>
      </c>
      <c r="C25" s="7" t="s">
        <v>54</v>
      </c>
      <c r="D25" s="7" t="s">
        <v>10</v>
      </c>
      <c r="E25" s="8" t="s">
        <v>57</v>
      </c>
    </row>
    <row r="26" customFormat="false" ht="30" hidden="false" customHeight="true" outlineLevel="0" collapsed="false">
      <c r="A26" s="5" t="s">
        <v>58</v>
      </c>
      <c r="B26" s="9" t="n">
        <v>2200</v>
      </c>
      <c r="C26" s="7" t="s">
        <v>54</v>
      </c>
      <c r="D26" s="7" t="s">
        <v>10</v>
      </c>
      <c r="E26" s="8" t="s">
        <v>59</v>
      </c>
    </row>
    <row r="27" customFormat="false" ht="30" hidden="false" customHeight="true" outlineLevel="0" collapsed="false">
      <c r="A27" s="5" t="s">
        <v>60</v>
      </c>
      <c r="B27" s="10" t="n">
        <v>0.04</v>
      </c>
      <c r="C27" s="7" t="s">
        <v>61</v>
      </c>
      <c r="D27" s="7" t="s">
        <v>10</v>
      </c>
      <c r="E27" s="8" t="s">
        <v>62</v>
      </c>
    </row>
    <row r="28" customFormat="false" ht="30" hidden="false" customHeight="true" outlineLevel="0" collapsed="false">
      <c r="A28" s="5" t="s">
        <v>63</v>
      </c>
      <c r="B28" s="10" t="n">
        <v>0.4</v>
      </c>
      <c r="C28" s="7" t="s">
        <v>64</v>
      </c>
      <c r="D28" s="7" t="s">
        <v>10</v>
      </c>
      <c r="E28" s="8" t="s">
        <v>65</v>
      </c>
    </row>
    <row r="29" customFormat="false" ht="30" hidden="false" customHeight="true" outlineLevel="0" collapsed="false">
      <c r="A29" s="5" t="s">
        <v>66</v>
      </c>
      <c r="B29" s="6" t="n">
        <v>385</v>
      </c>
      <c r="C29" s="7" t="s">
        <v>67</v>
      </c>
      <c r="D29" s="7" t="s">
        <v>10</v>
      </c>
      <c r="E29" s="8" t="s">
        <v>68</v>
      </c>
    </row>
    <row r="30" customFormat="false" ht="30" hidden="false" customHeight="true" outlineLevel="0" collapsed="false">
      <c r="A30" s="5" t="s">
        <v>69</v>
      </c>
      <c r="B30" s="6" t="n">
        <v>2800</v>
      </c>
      <c r="C30" s="7" t="s">
        <v>67</v>
      </c>
      <c r="D30" s="7" t="s">
        <v>10</v>
      </c>
      <c r="E30" s="8" t="s">
        <v>70</v>
      </c>
    </row>
    <row r="31" customFormat="false" ht="30" hidden="false" customHeight="true" outlineLevel="0" collapsed="false">
      <c r="A31" s="5" t="s">
        <v>71</v>
      </c>
      <c r="B31" s="6" t="n">
        <v>1450</v>
      </c>
      <c r="C31" s="7" t="s">
        <v>67</v>
      </c>
      <c r="D31" s="7" t="s">
        <v>10</v>
      </c>
      <c r="E31" s="8" t="s">
        <v>72</v>
      </c>
    </row>
    <row r="32" customFormat="false" ht="30" hidden="false" customHeight="true" outlineLevel="0" collapsed="false">
      <c r="A32" s="5" t="s">
        <v>73</v>
      </c>
      <c r="B32" s="10" t="n">
        <v>0.31</v>
      </c>
      <c r="C32" s="7" t="s">
        <v>21</v>
      </c>
      <c r="D32" s="7" t="s">
        <v>10</v>
      </c>
      <c r="E32" s="8" t="s">
        <v>74</v>
      </c>
    </row>
    <row r="33" customFormat="false" ht="30" hidden="false" customHeight="true" outlineLevel="0" collapsed="false">
      <c r="A33" s="5" t="s">
        <v>75</v>
      </c>
      <c r="B33" s="10" t="n">
        <v>0.48</v>
      </c>
      <c r="C33" s="7" t="s">
        <v>21</v>
      </c>
      <c r="D33" s="7" t="s">
        <v>10</v>
      </c>
      <c r="E33" s="8"/>
    </row>
    <row r="34" customFormat="false" ht="30" hidden="false" customHeight="true" outlineLevel="0" collapsed="false">
      <c r="A34" s="5" t="s">
        <v>76</v>
      </c>
      <c r="B34" s="10" t="n">
        <v>0.11</v>
      </c>
      <c r="C34" s="7" t="s">
        <v>21</v>
      </c>
      <c r="D34" s="7" t="s">
        <v>10</v>
      </c>
      <c r="E34" s="8"/>
    </row>
    <row r="35" customFormat="false" ht="30" hidden="false" customHeight="true" outlineLevel="0" collapsed="false">
      <c r="A35" s="5" t="s">
        <v>77</v>
      </c>
      <c r="B35" s="10" t="n">
        <v>0.1</v>
      </c>
      <c r="C35" s="7" t="s">
        <v>21</v>
      </c>
      <c r="D35" s="7" t="s">
        <v>10</v>
      </c>
      <c r="E35" s="8"/>
    </row>
    <row r="36" customFormat="false" ht="30" hidden="false" customHeight="true" outlineLevel="0" collapsed="false">
      <c r="A36" s="5" t="s">
        <v>78</v>
      </c>
      <c r="B36" s="11" t="n">
        <v>2.4</v>
      </c>
      <c r="C36" s="7" t="s">
        <v>79</v>
      </c>
      <c r="D36" s="7" t="s">
        <v>10</v>
      </c>
      <c r="E36" s="8" t="s">
        <v>80</v>
      </c>
    </row>
    <row r="37" customFormat="false" ht="30" hidden="false" customHeight="true" outlineLevel="0" collapsed="false">
      <c r="A37" s="5" t="s">
        <v>81</v>
      </c>
      <c r="B37" s="6" t="n">
        <v>180000</v>
      </c>
      <c r="C37" s="7" t="s">
        <v>82</v>
      </c>
      <c r="D37" s="7" t="s">
        <v>10</v>
      </c>
      <c r="E37" s="8" t="s">
        <v>83</v>
      </c>
    </row>
    <row r="38" customFormat="false" ht="30" hidden="false" customHeight="true" outlineLevel="0" collapsed="false">
      <c r="A38" s="5" t="s">
        <v>84</v>
      </c>
      <c r="B38" s="9" t="n">
        <v>3</v>
      </c>
      <c r="C38" s="7" t="s">
        <v>40</v>
      </c>
      <c r="D38" s="7" t="s">
        <v>10</v>
      </c>
      <c r="E38" s="8" t="s">
        <v>85</v>
      </c>
    </row>
    <row r="39" customFormat="false" ht="30" hidden="false" customHeight="true" outlineLevel="0" collapsed="false">
      <c r="A39" s="5" t="s">
        <v>86</v>
      </c>
      <c r="B39" s="10" t="n">
        <v>-0.015</v>
      </c>
      <c r="C39" s="7" t="s">
        <v>61</v>
      </c>
      <c r="D39" s="7" t="s">
        <v>10</v>
      </c>
      <c r="E39" s="8" t="s">
        <v>87</v>
      </c>
    </row>
    <row r="40" customFormat="false" ht="18" hidden="false" customHeight="true" outlineLevel="0" collapsed="false">
      <c r="A40" s="4" t="s">
        <v>88</v>
      </c>
      <c r="B40" s="4"/>
      <c r="C40" s="4"/>
      <c r="D40" s="4"/>
      <c r="E40" s="4"/>
    </row>
    <row r="41" customFormat="false" ht="30" hidden="false" customHeight="true" outlineLevel="0" collapsed="false">
      <c r="A41" s="5" t="s">
        <v>89</v>
      </c>
      <c r="B41" s="6" t="n">
        <v>3800000</v>
      </c>
      <c r="C41" s="7" t="s">
        <v>31</v>
      </c>
      <c r="D41" s="7" t="s">
        <v>10</v>
      </c>
      <c r="E41" s="8" t="s">
        <v>90</v>
      </c>
    </row>
    <row r="42" customFormat="false" ht="30" hidden="false" customHeight="true" outlineLevel="0" collapsed="false">
      <c r="A42" s="5" t="s">
        <v>91</v>
      </c>
      <c r="B42" s="6" t="n">
        <v>3200000</v>
      </c>
      <c r="C42" s="7" t="s">
        <v>31</v>
      </c>
      <c r="D42" s="7" t="s">
        <v>10</v>
      </c>
      <c r="E42" s="8" t="s">
        <v>92</v>
      </c>
    </row>
    <row r="43" customFormat="false" ht="30" hidden="false" customHeight="true" outlineLevel="0" collapsed="false">
      <c r="A43" s="5" t="s">
        <v>93</v>
      </c>
      <c r="B43" s="6" t="n">
        <v>2600000</v>
      </c>
      <c r="C43" s="7" t="s">
        <v>31</v>
      </c>
      <c r="D43" s="7" t="s">
        <v>10</v>
      </c>
      <c r="E43" s="8" t="s">
        <v>94</v>
      </c>
    </row>
    <row r="44" customFormat="false" ht="30" hidden="false" customHeight="true" outlineLevel="0" collapsed="false">
      <c r="A44" s="5" t="s">
        <v>95</v>
      </c>
      <c r="B44" s="9" t="n">
        <v>28</v>
      </c>
      <c r="C44" s="7" t="s">
        <v>96</v>
      </c>
      <c r="D44" s="7" t="s">
        <v>10</v>
      </c>
      <c r="E44" s="8" t="s">
        <v>97</v>
      </c>
    </row>
    <row r="45" customFormat="false" ht="30" hidden="false" customHeight="true" outlineLevel="0" collapsed="false">
      <c r="A45" s="5" t="s">
        <v>98</v>
      </c>
      <c r="B45" s="6" t="n">
        <v>82000</v>
      </c>
      <c r="C45" s="7" t="s">
        <v>99</v>
      </c>
      <c r="D45" s="7" t="s">
        <v>10</v>
      </c>
      <c r="E45" s="8" t="s">
        <v>100</v>
      </c>
    </row>
    <row r="46" customFormat="false" ht="30" hidden="false" customHeight="true" outlineLevel="0" collapsed="false">
      <c r="A46" s="5" t="s">
        <v>101</v>
      </c>
      <c r="B46" s="9" t="n">
        <v>6</v>
      </c>
      <c r="C46" s="7" t="s">
        <v>96</v>
      </c>
      <c r="D46" s="7" t="s">
        <v>10</v>
      </c>
      <c r="E46" s="8" t="s">
        <v>102</v>
      </c>
    </row>
    <row r="47" customFormat="false" ht="30" hidden="false" customHeight="true" outlineLevel="0" collapsed="false">
      <c r="A47" s="5" t="s">
        <v>103</v>
      </c>
      <c r="B47" s="9" t="n">
        <v>10</v>
      </c>
      <c r="C47" s="7" t="s">
        <v>96</v>
      </c>
      <c r="D47" s="7" t="s">
        <v>10</v>
      </c>
      <c r="E47" s="8" t="s">
        <v>104</v>
      </c>
    </row>
    <row r="48" customFormat="false" ht="30" hidden="false" customHeight="true" outlineLevel="0" collapsed="false">
      <c r="A48" s="5" t="s">
        <v>105</v>
      </c>
      <c r="B48" s="6" t="n">
        <v>1800000</v>
      </c>
      <c r="C48" s="7" t="s">
        <v>28</v>
      </c>
      <c r="D48" s="7" t="s">
        <v>10</v>
      </c>
      <c r="E48" s="8" t="s">
        <v>106</v>
      </c>
    </row>
    <row r="49" customFormat="false" ht="30" hidden="false" customHeight="true" outlineLevel="0" collapsed="false">
      <c r="A49" s="5" t="s">
        <v>107</v>
      </c>
      <c r="B49" s="6" t="n">
        <v>4200000</v>
      </c>
      <c r="C49" s="7" t="s">
        <v>28</v>
      </c>
      <c r="D49" s="7" t="s">
        <v>10</v>
      </c>
      <c r="E49" s="8" t="s">
        <v>108</v>
      </c>
    </row>
    <row r="50" customFormat="false" ht="30" hidden="false" customHeight="true" outlineLevel="0" collapsed="false">
      <c r="A50" s="5" t="s">
        <v>109</v>
      </c>
      <c r="B50" s="6" t="n">
        <v>650000</v>
      </c>
      <c r="C50" s="7" t="s">
        <v>28</v>
      </c>
      <c r="D50" s="7" t="s">
        <v>10</v>
      </c>
      <c r="E50" s="8" t="s">
        <v>110</v>
      </c>
    </row>
    <row r="51" customFormat="false" ht="30" hidden="false" customHeight="true" outlineLevel="0" collapsed="false">
      <c r="A51" s="5" t="s">
        <v>111</v>
      </c>
      <c r="B51" s="10" t="n">
        <v>0.18</v>
      </c>
      <c r="C51" s="7" t="s">
        <v>21</v>
      </c>
      <c r="D51" s="7" t="s">
        <v>10</v>
      </c>
      <c r="E51" s="8" t="s">
        <v>112</v>
      </c>
    </row>
    <row r="52" customFormat="false" ht="30" hidden="false" customHeight="true" outlineLevel="0" collapsed="false">
      <c r="A52" s="5" t="s">
        <v>113</v>
      </c>
      <c r="B52" s="10" t="n">
        <v>0.22</v>
      </c>
      <c r="C52" s="7" t="s">
        <v>21</v>
      </c>
      <c r="D52" s="7" t="s">
        <v>10</v>
      </c>
      <c r="E52" s="8" t="s">
        <v>114</v>
      </c>
    </row>
    <row r="53" customFormat="false" ht="30" hidden="false" customHeight="true" outlineLevel="0" collapsed="false">
      <c r="A53" s="5" t="s">
        <v>115</v>
      </c>
      <c r="B53" s="6" t="n">
        <v>420000</v>
      </c>
      <c r="C53" s="7" t="s">
        <v>31</v>
      </c>
      <c r="D53" s="7" t="s">
        <v>10</v>
      </c>
      <c r="E53" s="8" t="s">
        <v>116</v>
      </c>
    </row>
    <row r="54" customFormat="false" ht="30" hidden="false" customHeight="true" outlineLevel="0" collapsed="false">
      <c r="A54" s="5" t="s">
        <v>117</v>
      </c>
      <c r="B54" s="6" t="n">
        <v>350000</v>
      </c>
      <c r="C54" s="7" t="s">
        <v>31</v>
      </c>
      <c r="D54" s="7" t="s">
        <v>10</v>
      </c>
      <c r="E54" s="8" t="s">
        <v>118</v>
      </c>
    </row>
    <row r="56" customFormat="false" ht="15.75" hidden="false" customHeight="true" outlineLevel="0" collapsed="false">
      <c r="A56" s="1" t="s">
        <v>119</v>
      </c>
      <c r="B56" s="1"/>
      <c r="C56" s="1"/>
      <c r="D56" s="1"/>
      <c r="E56" s="1"/>
    </row>
    <row r="57" customFormat="false" ht="15" hidden="false" customHeight="false" outlineLevel="0" collapsed="false">
      <c r="A57" s="12" t="s">
        <v>120</v>
      </c>
      <c r="B57" s="12"/>
      <c r="C57" s="12"/>
      <c r="D57" s="12"/>
      <c r="E57" s="12"/>
    </row>
    <row r="58" customFormat="false" ht="15" hidden="false" customHeight="false" outlineLevel="0" collapsed="false">
      <c r="A58" s="13" t="s">
        <v>121</v>
      </c>
      <c r="B58" s="13"/>
      <c r="C58" s="13"/>
      <c r="D58" s="13"/>
      <c r="E58" s="13"/>
    </row>
    <row r="59" customFormat="false" ht="15" hidden="false" customHeight="false" outlineLevel="0" collapsed="false">
      <c r="A59" s="13" t="s">
        <v>122</v>
      </c>
      <c r="B59" s="13"/>
      <c r="C59" s="13"/>
      <c r="D59" s="13"/>
      <c r="E59" s="13"/>
    </row>
  </sheetData>
  <mergeCells count="9">
    <mergeCell ref="A1:E1"/>
    <mergeCell ref="A2:E2"/>
    <mergeCell ref="A4:E4"/>
    <mergeCell ref="A23:E23"/>
    <mergeCell ref="A40:E40"/>
    <mergeCell ref="A56:E56"/>
    <mergeCell ref="A57:E57"/>
    <mergeCell ref="A58:E58"/>
    <mergeCell ref="A59:E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2" min="2" style="0" width="12"/>
  </cols>
  <sheetData>
    <row r="1" customFormat="false" ht="25.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3"/>
      <c r="B4" s="3" t="s">
        <v>125</v>
      </c>
      <c r="C4" s="3" t="s">
        <v>126</v>
      </c>
      <c r="D4" s="3" t="s">
        <v>127</v>
      </c>
      <c r="E4" s="3" t="s">
        <v>128</v>
      </c>
      <c r="F4" s="3" t="s">
        <v>129</v>
      </c>
      <c r="G4" s="3" t="s">
        <v>130</v>
      </c>
      <c r="H4" s="3" t="s">
        <v>131</v>
      </c>
      <c r="I4" s="3" t="s">
        <v>132</v>
      </c>
      <c r="J4" s="3" t="s">
        <v>133</v>
      </c>
      <c r="K4" s="3" t="s">
        <v>134</v>
      </c>
      <c r="L4" s="3" t="s">
        <v>135</v>
      </c>
    </row>
    <row r="5" customFormat="false" ht="18" hidden="false" customHeight="true" outlineLevel="0" collapsed="false">
      <c r="A5" s="2" t="s">
        <v>136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9.5" hidden="false" customHeight="true" outlineLevel="0" collapsed="false">
      <c r="A6" s="14" t="s">
        <v>137</v>
      </c>
      <c r="B6" s="15" t="n">
        <f aca="false">24500000/1000</f>
        <v>24500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7" customFormat="false" ht="19.5" hidden="false" customHeight="true" outlineLevel="0" collapsed="false">
      <c r="A7" s="14" t="s">
        <v>138</v>
      </c>
      <c r="B7" s="16" t="n">
        <f aca="false">5200000*(1+0.055)^0/1000</f>
        <v>5200</v>
      </c>
      <c r="C7" s="16" t="n">
        <f aca="false">5200000*(1+0.055)^1/1000</f>
        <v>5486</v>
      </c>
      <c r="D7" s="16" t="n">
        <f aca="false">5200000*(1+0.055)^2/1000</f>
        <v>5787.73</v>
      </c>
      <c r="E7" s="16" t="n">
        <f aca="false">5200000*(1+0.055)^3/1000</f>
        <v>6106.05515</v>
      </c>
      <c r="F7" s="16" t="n">
        <f aca="false">5200000*(1+0.055)^4/1000</f>
        <v>6441.88818325</v>
      </c>
      <c r="G7" s="16" t="n">
        <f aca="false">5200000*(1+0.055)^5/1000</f>
        <v>6796.19203332875</v>
      </c>
      <c r="H7" s="16" t="n">
        <f aca="false">5200000*(1+0.055)^6/1000</f>
        <v>7169.98259516183</v>
      </c>
      <c r="I7" s="16" t="n">
        <f aca="false">5200000*(1+0.055)^7/1000</f>
        <v>7564.33163789573</v>
      </c>
      <c r="J7" s="16" t="n">
        <f aca="false">5200000*(1+0.055)^8/1000</f>
        <v>7980.36987797999</v>
      </c>
      <c r="K7" s="16" t="n">
        <f aca="false">5200000*(1+0.055)^9/1000</f>
        <v>8419.29022126889</v>
      </c>
      <c r="L7" s="16" t="n">
        <f aca="false">5200000*(1+0.055)^10/1000</f>
        <v>8882.35118343868</v>
      </c>
    </row>
    <row r="8" customFormat="false" ht="19.5" hidden="false" customHeight="true" outlineLevel="0" collapsed="false">
      <c r="A8" s="14" t="s">
        <v>139</v>
      </c>
      <c r="B8" s="15" t="n">
        <f aca="false">(3200000*(1+0.025)^0)/1000</f>
        <v>3200</v>
      </c>
      <c r="C8" s="15" t="n">
        <f aca="false">(3200000*(1+0.025)^1)/1000</f>
        <v>3280</v>
      </c>
      <c r="D8" s="15" t="n">
        <f aca="false">(3200000*(1+0.025)^2)/1000</f>
        <v>3362</v>
      </c>
      <c r="E8" s="15" t="n">
        <f aca="false">(3200000*(1+0.025)^3)/1000</f>
        <v>3446.05</v>
      </c>
      <c r="F8" s="15" t="n">
        <f aca="false">(3200000*(1+0.025)^4)/1000</f>
        <v>3532.20125</v>
      </c>
      <c r="G8" s="15" t="n">
        <f aca="false">(3200000*(1+0.025)^5)/1000</f>
        <v>3620.50628125</v>
      </c>
      <c r="H8" s="15" t="n">
        <f aca="false">(3200000*(1+0.025)^6)/1000</f>
        <v>3711.01893828125</v>
      </c>
      <c r="I8" s="15" t="n">
        <f aca="false">(3200000*(1+0.025)^7)/1000</f>
        <v>3803.79441173828</v>
      </c>
      <c r="J8" s="15" t="n">
        <f aca="false">(3200000*(1+0.025)^8)/1000</f>
        <v>3898.88927203174</v>
      </c>
      <c r="K8" s="15" t="n">
        <f aca="false">(3200000*(1+0.025)^9)/1000</f>
        <v>3996.36150383253</v>
      </c>
      <c r="L8" s="15" t="n">
        <f aca="false">(3200000*(1+0.025)^10)/1000</f>
        <v>4096.27054142834</v>
      </c>
    </row>
    <row r="9" customFormat="false" ht="19.5" hidden="false" customHeight="true" outlineLevel="0" collapsed="false">
      <c r="A9" s="14" t="s">
        <v>140</v>
      </c>
      <c r="B9" s="16" t="n">
        <f aca="false">0</f>
        <v>0</v>
      </c>
      <c r="C9" s="16" t="n">
        <f aca="false">2200</f>
        <v>2200</v>
      </c>
      <c r="D9" s="16" t="n">
        <f aca="false">2200</f>
        <v>2200</v>
      </c>
      <c r="E9" s="16" t="n">
        <f aca="false">2200</f>
        <v>2200</v>
      </c>
      <c r="F9" s="16" t="n">
        <f aca="false">2200</f>
        <v>2200</v>
      </c>
      <c r="G9" s="16" t="n">
        <f aca="false">2200</f>
        <v>2200</v>
      </c>
      <c r="H9" s="16" t="n">
        <f aca="false">2200</f>
        <v>2200</v>
      </c>
      <c r="I9" s="16" t="n">
        <f aca="false">2200</f>
        <v>2200</v>
      </c>
      <c r="J9" s="16" t="n">
        <f aca="false">2200</f>
        <v>2200</v>
      </c>
      <c r="K9" s="16" t="n">
        <f aca="false">2200</f>
        <v>2200</v>
      </c>
      <c r="L9" s="16" t="n">
        <f aca="false">2200</f>
        <v>2200</v>
      </c>
    </row>
    <row r="10" customFormat="false" ht="19.5" hidden="false" customHeight="true" outlineLevel="0" collapsed="false">
      <c r="A10" s="14" t="s">
        <v>141</v>
      </c>
      <c r="B10" s="17" t="n">
        <f aca="false">-B6+B7-B8+B9</f>
        <v>-22500</v>
      </c>
      <c r="C10" s="17" t="n">
        <f aca="false">-C6+C7-C8+C9</f>
        <v>4406</v>
      </c>
      <c r="D10" s="17" t="n">
        <f aca="false">-D6+D7-D8+D9</f>
        <v>4625.73</v>
      </c>
      <c r="E10" s="17" t="n">
        <f aca="false">-E6+E7-E8+E9</f>
        <v>4860.00515</v>
      </c>
      <c r="F10" s="17" t="n">
        <f aca="false">-F6+F7-F8+F9</f>
        <v>5109.68693325</v>
      </c>
      <c r="G10" s="17" t="n">
        <f aca="false">-G6+G7-G8+G9</f>
        <v>5375.68575207875</v>
      </c>
      <c r="H10" s="17" t="n">
        <f aca="false">-H6+H7-H8+H9</f>
        <v>5658.96365688058</v>
      </c>
      <c r="I10" s="17" t="n">
        <f aca="false">-I6+I7-I8+I9</f>
        <v>5960.53722615745</v>
      </c>
      <c r="J10" s="17" t="n">
        <f aca="false">-J6+J7-J8+J9</f>
        <v>6281.48060594826</v>
      </c>
      <c r="K10" s="17" t="n">
        <f aca="false">-K6+K7-K8+K9</f>
        <v>6622.92871743636</v>
      </c>
      <c r="L10" s="17" t="n">
        <f aca="false">-L6+L7-L8+L9</f>
        <v>6986.08064201034</v>
      </c>
    </row>
    <row r="11" customFormat="false" ht="19.5" hidden="false" customHeight="true" outlineLevel="0" collapsed="false">
      <c r="A11" s="14" t="s">
        <v>142</v>
      </c>
      <c r="B11" s="17" t="n">
        <f aca="false">B10/(1+0.065)^1</f>
        <v>-21126.7605633803</v>
      </c>
      <c r="C11" s="17" t="n">
        <f aca="false">C10/(1+0.065)^2</f>
        <v>3884.59079988539</v>
      </c>
      <c r="D11" s="17" t="n">
        <f aca="false">D10/(1+0.065)^3</f>
        <v>3829.4063794258</v>
      </c>
      <c r="E11" s="17" t="n">
        <f aca="false">E10/(1+0.065)^4</f>
        <v>3777.79422496273</v>
      </c>
      <c r="F11" s="17" t="n">
        <f aca="false">F10/(1+0.065)^5</f>
        <v>3729.4625732007</v>
      </c>
      <c r="G11" s="17" t="n">
        <f aca="false">G10/(1+0.065)^6</f>
        <v>3684.14085784133</v>
      </c>
      <c r="H11" s="17" t="n">
        <f aca="false">H10/(1+0.065)^7</f>
        <v>3641.57828272669</v>
      </c>
      <c r="I11" s="17" t="n">
        <f aca="false">I10/(1+0.065)^8</f>
        <v>3601.54248712325</v>
      </c>
      <c r="J11" s="17" t="n">
        <f aca="false">J10/(1+0.065)^9</f>
        <v>3563.81829733229</v>
      </c>
      <c r="K11" s="17" t="n">
        <f aca="false">K10/(1+0.065)^10</f>
        <v>3528.20655917493</v>
      </c>
      <c r="L11" s="17" t="n">
        <f aca="false">L10/(1+0.065)^11</f>
        <v>3494.52304623932</v>
      </c>
    </row>
    <row r="12" customFormat="false" ht="15" hidden="false" customHeight="false" outlineLevel="0" collapsed="false">
      <c r="A12" s="18" t="s">
        <v>143</v>
      </c>
      <c r="B12" s="19" t="n">
        <f aca="false">SUM(B11:L11)</f>
        <v>15608.3029445321</v>
      </c>
      <c r="C12" s="19"/>
      <c r="D12" s="19"/>
    </row>
    <row r="13" customFormat="false" ht="15" hidden="false" customHeight="false" outlineLevel="0" collapsed="false">
      <c r="A13" s="18" t="s">
        <v>144</v>
      </c>
      <c r="B13" s="20" t="n">
        <f aca="false">IFERROR(IRR(B10:L10),"N/A")</f>
        <v>0.190973943552849</v>
      </c>
      <c r="C13" s="20"/>
      <c r="D13" s="20"/>
    </row>
    <row r="14" customFormat="false" ht="15" hidden="false" customHeight="false" outlineLevel="0" collapsed="false">
      <c r="A14" s="18" t="s">
        <v>145</v>
      </c>
      <c r="B14" s="21" t="n">
        <f aca="false">IFERROR(B6/B7,"—")</f>
        <v>4.71153846153846</v>
      </c>
      <c r="C14" s="21"/>
      <c r="D14" s="21"/>
    </row>
    <row r="16" customFormat="false" ht="18" hidden="false" customHeight="true" outlineLevel="0" collapsed="false">
      <c r="A16" s="22" t="s">
        <v>146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19.5" hidden="false" customHeight="true" outlineLevel="0" collapsed="false">
      <c r="A17" s="14" t="s">
        <v>137</v>
      </c>
      <c r="B17" s="15" t="n">
        <f aca="false">38800000/1000</f>
        <v>38800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customFormat="false" ht="19.5" hidden="false" customHeight="true" outlineLevel="0" collapsed="false">
      <c r="A18" s="14" t="s">
        <v>138</v>
      </c>
      <c r="B18" s="16" t="n">
        <f aca="false">7100000*(1+0.07)^0/1000</f>
        <v>7100</v>
      </c>
      <c r="C18" s="16" t="n">
        <f aca="false">7100000*(1+0.07)^1/1000</f>
        <v>7597</v>
      </c>
      <c r="D18" s="16" t="n">
        <f aca="false">7100000*(1+0.07)^2/1000</f>
        <v>8128.79</v>
      </c>
      <c r="E18" s="16" t="n">
        <f aca="false">7100000*(1+0.07)^3/1000</f>
        <v>8697.8053</v>
      </c>
      <c r="F18" s="16" t="n">
        <f aca="false">7100000*(1+0.07)^4/1000</f>
        <v>9306.651671</v>
      </c>
      <c r="G18" s="16" t="n">
        <f aca="false">7100000*(1+0.07)^5/1000</f>
        <v>9958.11728797</v>
      </c>
      <c r="H18" s="16" t="n">
        <f aca="false">7100000*(1+0.07)^6/1000</f>
        <v>10655.1854981279</v>
      </c>
      <c r="I18" s="16" t="n">
        <f aca="false">7100000*(1+0.07)^7/1000</f>
        <v>11401.0484829969</v>
      </c>
      <c r="J18" s="16" t="n">
        <f aca="false">7100000*(1+0.07)^8/1000</f>
        <v>12199.1218768066</v>
      </c>
      <c r="K18" s="16" t="n">
        <f aca="false">7100000*(1+0.07)^9/1000</f>
        <v>13053.0604081831</v>
      </c>
      <c r="L18" s="16" t="n">
        <f aca="false">7100000*(1+0.07)^10/1000</f>
        <v>13966.7746367559</v>
      </c>
    </row>
    <row r="19" customFormat="false" ht="19.5" hidden="false" customHeight="true" outlineLevel="0" collapsed="false">
      <c r="A19" s="14" t="s">
        <v>139</v>
      </c>
      <c r="B19" s="15" t="n">
        <f aca="false">(2600000*(1+0.022)^0)/1000</f>
        <v>2600</v>
      </c>
      <c r="C19" s="15" t="n">
        <f aca="false">(2600000*(1+0.022)^1)/1000</f>
        <v>2657.2</v>
      </c>
      <c r="D19" s="15" t="n">
        <f aca="false">(2600000*(1+0.022)^2)/1000</f>
        <v>2715.6584</v>
      </c>
      <c r="E19" s="15" t="n">
        <f aca="false">(2600000*(1+0.022)^3)/1000</f>
        <v>2775.4028848</v>
      </c>
      <c r="F19" s="15" t="n">
        <f aca="false">(2600000*(1+0.022)^4)/1000</f>
        <v>2836.4617482656</v>
      </c>
      <c r="G19" s="15" t="n">
        <f aca="false">(2600000*(1+0.022)^5)/1000</f>
        <v>2898.86390672744</v>
      </c>
      <c r="H19" s="15" t="n">
        <f aca="false">(2600000*(1+0.022)^6)/1000</f>
        <v>2962.63891267545</v>
      </c>
      <c r="I19" s="15" t="n">
        <f aca="false">(2600000*(1+0.022)^7)/1000</f>
        <v>3027.81696875431</v>
      </c>
      <c r="J19" s="15" t="n">
        <f aca="false">(2600000*(1+0.022)^8)/1000</f>
        <v>3094.4289420669</v>
      </c>
      <c r="K19" s="15" t="n">
        <f aca="false">(2600000*(1+0.022)^9)/1000</f>
        <v>3162.50637879237</v>
      </c>
      <c r="L19" s="15" t="n">
        <f aca="false">(2600000*(1+0.022)^10)/1000</f>
        <v>3232.08151912581</v>
      </c>
    </row>
    <row r="20" customFormat="false" ht="19.5" hidden="false" customHeight="true" outlineLevel="0" collapsed="false">
      <c r="A20" s="14" t="s">
        <v>140</v>
      </c>
      <c r="B20" s="16" t="n">
        <f aca="false">0</f>
        <v>0</v>
      </c>
      <c r="C20" s="16" t="n">
        <f aca="false">2200</f>
        <v>2200</v>
      </c>
      <c r="D20" s="16" t="n">
        <f aca="false">2200</f>
        <v>2200</v>
      </c>
      <c r="E20" s="16" t="n">
        <f aca="false">2200</f>
        <v>2200</v>
      </c>
      <c r="F20" s="16" t="n">
        <f aca="false">2200</f>
        <v>2200</v>
      </c>
      <c r="G20" s="16" t="n">
        <f aca="false">2200</f>
        <v>2200</v>
      </c>
      <c r="H20" s="16" t="n">
        <f aca="false">2200</f>
        <v>2200</v>
      </c>
      <c r="I20" s="16" t="n">
        <f aca="false">2200</f>
        <v>2200</v>
      </c>
      <c r="J20" s="16" t="n">
        <f aca="false">2200</f>
        <v>2200</v>
      </c>
      <c r="K20" s="16" t="n">
        <f aca="false">2200</f>
        <v>2200</v>
      </c>
      <c r="L20" s="16" t="n">
        <f aca="false">2200</f>
        <v>2200</v>
      </c>
    </row>
    <row r="21" customFormat="false" ht="19.5" hidden="false" customHeight="true" outlineLevel="0" collapsed="false">
      <c r="A21" s="14" t="s">
        <v>141</v>
      </c>
      <c r="B21" s="17" t="n">
        <f aca="false">-B17+B18-B19+B20</f>
        <v>-34300</v>
      </c>
      <c r="C21" s="17" t="n">
        <f aca="false">-C17+C18-C19+C20</f>
        <v>7139.8</v>
      </c>
      <c r="D21" s="17" t="n">
        <f aca="false">-D17+D18-D19+D20</f>
        <v>7613.1316</v>
      </c>
      <c r="E21" s="17" t="n">
        <f aca="false">-E17+E18-E19+E20</f>
        <v>8122.4024152</v>
      </c>
      <c r="F21" s="17" t="n">
        <f aca="false">-F17+F18-F19+F20</f>
        <v>8670.1899227344</v>
      </c>
      <c r="G21" s="17" t="n">
        <f aca="false">-G17+G18-G19+G20</f>
        <v>9259.25338124256</v>
      </c>
      <c r="H21" s="17" t="n">
        <f aca="false">-H17+H18-H19+H20</f>
        <v>9892.54658545246</v>
      </c>
      <c r="I21" s="17" t="n">
        <f aca="false">-I17+I18-I19+I20</f>
        <v>10573.2315142426</v>
      </c>
      <c r="J21" s="17" t="n">
        <f aca="false">-J17+J18-J19+J20</f>
        <v>11304.6929347397</v>
      </c>
      <c r="K21" s="17" t="n">
        <f aca="false">-K17+K18-K19+K20</f>
        <v>12090.5540293907</v>
      </c>
      <c r="L21" s="17" t="n">
        <f aca="false">-L17+L18-L19+L20</f>
        <v>12934.6931176301</v>
      </c>
    </row>
    <row r="22" customFormat="false" ht="19.5" hidden="false" customHeight="true" outlineLevel="0" collapsed="false">
      <c r="A22" s="14" t="s">
        <v>142</v>
      </c>
      <c r="B22" s="17" t="n">
        <f aca="false">B21/(1+0.065)^1</f>
        <v>-32206.5727699531</v>
      </c>
      <c r="C22" s="17" t="n">
        <f aca="false">C21/(1+0.065)^2</f>
        <v>6294.87094712249</v>
      </c>
      <c r="D22" s="17" t="n">
        <f aca="false">D21/(1+0.065)^3</f>
        <v>6302.52408083657</v>
      </c>
      <c r="E22" s="17" t="n">
        <f aca="false">E21/(1+0.065)^4</f>
        <v>6313.73095087479</v>
      </c>
      <c r="F22" s="17" t="n">
        <f aca="false">F21/(1+0.065)^5</f>
        <v>6328.20547360094</v>
      </c>
      <c r="G22" s="17" t="n">
        <f aca="false">G21/(1+0.065)^6</f>
        <v>6345.6822567707</v>
      </c>
      <c r="H22" s="17" t="n">
        <f aca="false">H21/(1+0.065)^7</f>
        <v>6365.91520828103</v>
      </c>
      <c r="I22" s="17" t="n">
        <f aca="false">I21/(1+0.065)^8</f>
        <v>6388.67623502518</v>
      </c>
      <c r="J22" s="17" t="n">
        <f aca="false">J21/(1+0.065)^9</f>
        <v>6413.75402614439</v>
      </c>
      <c r="K22" s="17" t="n">
        <f aca="false">K21/(1+0.065)^10</f>
        <v>6440.95291532408</v>
      </c>
      <c r="L22" s="17" t="n">
        <f aca="false">L21/(1+0.065)^11</f>
        <v>6470.09181711715</v>
      </c>
    </row>
    <row r="23" customFormat="false" ht="15" hidden="false" customHeight="false" outlineLevel="0" collapsed="false">
      <c r="A23" s="18" t="s">
        <v>143</v>
      </c>
      <c r="B23" s="19" t="n">
        <f aca="false">SUM(B22:L22)</f>
        <v>31457.8311411443</v>
      </c>
      <c r="C23" s="19"/>
      <c r="D23" s="19"/>
    </row>
    <row r="24" customFormat="false" ht="15" hidden="false" customHeight="false" outlineLevel="0" collapsed="false">
      <c r="A24" s="18" t="s">
        <v>144</v>
      </c>
      <c r="B24" s="20" t="n">
        <f aca="false">IFERROR(IRR(B21:L21),"N/A")</f>
        <v>0.221619102122773</v>
      </c>
      <c r="C24" s="20"/>
      <c r="D24" s="20"/>
    </row>
    <row r="25" customFormat="false" ht="15" hidden="false" customHeight="false" outlineLevel="0" collapsed="false">
      <c r="A25" s="18" t="s">
        <v>145</v>
      </c>
      <c r="B25" s="21" t="n">
        <f aca="false">IFERROR(B17/B18,"—")</f>
        <v>5.46478873239437</v>
      </c>
      <c r="C25" s="21"/>
      <c r="D25" s="21"/>
    </row>
    <row r="27" customFormat="false" ht="18" hidden="false" customHeight="true" outlineLevel="0" collapsed="false">
      <c r="A27" s="23" t="s">
        <v>147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customFormat="false" ht="19.5" hidden="false" customHeight="true" outlineLevel="0" collapsed="false">
      <c r="A28" s="14" t="s">
        <v>148</v>
      </c>
      <c r="B28" s="16" t="n">
        <f aca="false">2200*(1.05)^0</f>
        <v>2200</v>
      </c>
      <c r="C28" s="16" t="n">
        <f aca="false">2200*(1.05)^1</f>
        <v>2310</v>
      </c>
      <c r="D28" s="16" t="n">
        <f aca="false">2200*(1.05)^2</f>
        <v>2425.5</v>
      </c>
      <c r="E28" s="16" t="n">
        <f aca="false">2200*(1.05)^3</f>
        <v>2546.775</v>
      </c>
      <c r="F28" s="16" t="n">
        <f aca="false">2200*(1.05)^4</f>
        <v>2674.11375</v>
      </c>
      <c r="G28" s="16" t="n">
        <f aca="false">2200*(1.05)^5</f>
        <v>2807.8194375</v>
      </c>
      <c r="H28" s="16" t="n">
        <f aca="false">2200*(1.05)^6</f>
        <v>2948.210409375</v>
      </c>
      <c r="I28" s="16" t="n">
        <f aca="false">2200*(1.05)^7</f>
        <v>3095.62092984375</v>
      </c>
      <c r="J28" s="16" t="n">
        <f aca="false">2200*(1.05)^8</f>
        <v>3250.40197633594</v>
      </c>
      <c r="K28" s="16" t="n">
        <f aca="false">2200*(1.05)^9</f>
        <v>3412.92207515274</v>
      </c>
      <c r="L28" s="16" t="n">
        <f aca="false">2200*(1.05)^10</f>
        <v>3583.56817891037</v>
      </c>
    </row>
    <row r="29" customFormat="false" ht="19.5" hidden="false" customHeight="true" outlineLevel="0" collapsed="false">
      <c r="A29" s="14" t="s">
        <v>149</v>
      </c>
      <c r="B29" s="16" t="n">
        <f aca="false">350*(1.03)^0</f>
        <v>350</v>
      </c>
      <c r="C29" s="16" t="n">
        <f aca="false">350*(1.03)^1</f>
        <v>360.5</v>
      </c>
      <c r="D29" s="16" t="n">
        <f aca="false">350*(1.03)^2</f>
        <v>371.315</v>
      </c>
      <c r="E29" s="16" t="n">
        <f aca="false">350*(1.03)^3</f>
        <v>382.45445</v>
      </c>
      <c r="F29" s="16" t="n">
        <f aca="false">350*(1.03)^4</f>
        <v>393.9280835</v>
      </c>
      <c r="G29" s="16" t="n">
        <f aca="false">350*(1.03)^5</f>
        <v>405.745926005</v>
      </c>
      <c r="H29" s="16" t="n">
        <f aca="false">350*(1.03)^6</f>
        <v>417.91830378515</v>
      </c>
      <c r="I29" s="16" t="n">
        <f aca="false">350*(1.03)^7</f>
        <v>430.455852898705</v>
      </c>
      <c r="J29" s="16" t="n">
        <f aca="false">350*(1.03)^8</f>
        <v>443.369528485666</v>
      </c>
      <c r="K29" s="16" t="n">
        <f aca="false">350*(1.03)^9</f>
        <v>456.670614340236</v>
      </c>
      <c r="L29" s="16" t="n">
        <f aca="false">350*(1.03)^10</f>
        <v>470.370732770443</v>
      </c>
    </row>
    <row r="30" customFormat="false" ht="19.5" hidden="false" customHeight="true" outlineLevel="0" collapsed="false">
      <c r="A30" s="14" t="s">
        <v>150</v>
      </c>
      <c r="B30" s="16" t="n">
        <f aca="false">420*(1.04)^0</f>
        <v>420</v>
      </c>
      <c r="C30" s="16" t="n">
        <f aca="false">420*(1.04)^1</f>
        <v>436.8</v>
      </c>
      <c r="D30" s="16" t="n">
        <f aca="false">420*(1.04)^2</f>
        <v>454.272</v>
      </c>
      <c r="E30" s="16" t="n">
        <f aca="false">420*(1.04)^3</f>
        <v>472.44288</v>
      </c>
      <c r="F30" s="16" t="n">
        <f aca="false">420*(1.04)^4</f>
        <v>491.3405952</v>
      </c>
      <c r="G30" s="16" t="n">
        <f aca="false">420*(1.04)^5</f>
        <v>510.994219008</v>
      </c>
      <c r="H30" s="16" t="n">
        <f aca="false">420*(1.04)^6</f>
        <v>531.43398776832</v>
      </c>
      <c r="I30" s="16" t="n">
        <f aca="false">420*(1.04)^7</f>
        <v>552.691347279053</v>
      </c>
      <c r="J30" s="16" t="n">
        <f aca="false">420*(1.04)^8</f>
        <v>574.799001170215</v>
      </c>
      <c r="K30" s="16" t="n">
        <f aca="false">420*(1.04)^9</f>
        <v>597.790961217024</v>
      </c>
      <c r="L30" s="16" t="n">
        <f aca="false">420*(1.04)^10</f>
        <v>621.702599665705</v>
      </c>
    </row>
    <row r="31" customFormat="false" ht="19.5" hidden="false" customHeight="true" outlineLevel="0" collapsed="false">
      <c r="A31" s="14" t="s">
        <v>151</v>
      </c>
      <c r="B31" s="24" t="n">
        <f aca="false">B28+B29+B30</f>
        <v>2970</v>
      </c>
      <c r="C31" s="24" t="n">
        <f aca="false">C28+C29+C30</f>
        <v>3107.3</v>
      </c>
      <c r="D31" s="24" t="n">
        <f aca="false">D28+D29+D30</f>
        <v>3251.087</v>
      </c>
      <c r="E31" s="24" t="n">
        <f aca="false">E28+E29+E30</f>
        <v>3401.67233</v>
      </c>
      <c r="F31" s="24" t="n">
        <f aca="false">F28+F29+F30</f>
        <v>3559.3824287</v>
      </c>
      <c r="G31" s="24" t="n">
        <f aca="false">G28+G29+G30</f>
        <v>3724.559582513</v>
      </c>
      <c r="H31" s="24" t="n">
        <f aca="false">H28+H29+H30</f>
        <v>3897.56270092847</v>
      </c>
      <c r="I31" s="24" t="n">
        <f aca="false">I28+I29+I30</f>
        <v>4078.76813002151</v>
      </c>
      <c r="J31" s="24" t="n">
        <f aca="false">J28+J29+J30</f>
        <v>4268.57050599182</v>
      </c>
      <c r="K31" s="24" t="n">
        <f aca="false">K28+K29+K30</f>
        <v>4467.38365071</v>
      </c>
      <c r="L31" s="24" t="n">
        <f aca="false">L28+L29+L30</f>
        <v>4675.64151134652</v>
      </c>
    </row>
  </sheetData>
  <mergeCells count="11">
    <mergeCell ref="A1:L1"/>
    <mergeCell ref="A2:L2"/>
    <mergeCell ref="A5:L5"/>
    <mergeCell ref="B12:D12"/>
    <mergeCell ref="B13:D13"/>
    <mergeCell ref="B14:D14"/>
    <mergeCell ref="A16:L16"/>
    <mergeCell ref="B23:D23"/>
    <mergeCell ref="B24:D24"/>
    <mergeCell ref="B25:D25"/>
    <mergeCell ref="A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42"/>
  </cols>
  <sheetData>
    <row r="1" customFormat="false" ht="25.5" hidden="false" customHeight="true" outlineLevel="0" collapsed="false">
      <c r="A1" s="1" t="s">
        <v>152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153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154</v>
      </c>
      <c r="B3" s="3" t="s">
        <v>155</v>
      </c>
      <c r="C3" s="3" t="s">
        <v>156</v>
      </c>
      <c r="D3" s="3" t="s">
        <v>157</v>
      </c>
      <c r="E3" s="3" t="s">
        <v>158</v>
      </c>
      <c r="F3" s="3" t="s">
        <v>159</v>
      </c>
    </row>
    <row r="4" customFormat="false" ht="37.5" hidden="false" customHeight="true" outlineLevel="0" collapsed="false">
      <c r="A4" s="25" t="s">
        <v>160</v>
      </c>
      <c r="B4" s="25" t="s">
        <v>161</v>
      </c>
      <c r="C4" s="25"/>
      <c r="D4" s="25" t="s">
        <v>162</v>
      </c>
      <c r="E4" s="25" t="s">
        <v>163</v>
      </c>
      <c r="F4" s="25" t="s">
        <v>164</v>
      </c>
    </row>
    <row r="5" customFormat="false" ht="37.5" hidden="false" customHeight="true" outlineLevel="0" collapsed="false">
      <c r="A5" s="25" t="s">
        <v>165</v>
      </c>
      <c r="B5" s="25" t="s">
        <v>166</v>
      </c>
      <c r="C5" s="25"/>
      <c r="D5" s="25" t="s">
        <v>162</v>
      </c>
      <c r="E5" s="25" t="s">
        <v>163</v>
      </c>
      <c r="F5" s="25" t="s">
        <v>167</v>
      </c>
    </row>
    <row r="6" customFormat="false" ht="37.5" hidden="false" customHeight="true" outlineLevel="0" collapsed="false">
      <c r="A6" s="25" t="s">
        <v>168</v>
      </c>
      <c r="B6" s="25" t="s">
        <v>169</v>
      </c>
      <c r="C6" s="25"/>
      <c r="D6" s="25" t="s">
        <v>170</v>
      </c>
      <c r="E6" s="25" t="s">
        <v>163</v>
      </c>
      <c r="F6" s="25" t="s">
        <v>171</v>
      </c>
    </row>
    <row r="7" customFormat="false" ht="37.5" hidden="false" customHeight="true" outlineLevel="0" collapsed="false">
      <c r="A7" s="26" t="s">
        <v>172</v>
      </c>
      <c r="B7" s="26" t="s">
        <v>173</v>
      </c>
      <c r="C7" s="26" t="s">
        <v>174</v>
      </c>
      <c r="D7" s="26" t="s">
        <v>175</v>
      </c>
      <c r="E7" s="26" t="s">
        <v>176</v>
      </c>
      <c r="F7" s="26" t="s">
        <v>177</v>
      </c>
    </row>
    <row r="8" customFormat="false" ht="37.5" hidden="false" customHeight="true" outlineLevel="0" collapsed="false">
      <c r="A8" s="25" t="s">
        <v>178</v>
      </c>
      <c r="B8" s="25" t="s">
        <v>179</v>
      </c>
      <c r="C8" s="25"/>
      <c r="D8" s="25" t="s">
        <v>175</v>
      </c>
      <c r="E8" s="25" t="s">
        <v>163</v>
      </c>
      <c r="F8" s="25" t="s">
        <v>180</v>
      </c>
    </row>
    <row r="9" customFormat="false" ht="37.5" hidden="false" customHeight="true" outlineLevel="0" collapsed="false">
      <c r="A9" s="25" t="s">
        <v>181</v>
      </c>
      <c r="B9" s="25" t="s">
        <v>182</v>
      </c>
      <c r="C9" s="25"/>
      <c r="D9" s="25" t="s">
        <v>183</v>
      </c>
      <c r="E9" s="25" t="s">
        <v>163</v>
      </c>
      <c r="F9" s="25" t="s">
        <v>184</v>
      </c>
    </row>
    <row r="10" customFormat="false" ht="37.5" hidden="false" customHeight="true" outlineLevel="0" collapsed="false">
      <c r="A10" s="25" t="s">
        <v>185</v>
      </c>
      <c r="B10" s="25" t="s">
        <v>186</v>
      </c>
      <c r="C10" s="25"/>
      <c r="D10" s="25" t="s">
        <v>187</v>
      </c>
      <c r="E10" s="25" t="s">
        <v>163</v>
      </c>
      <c r="F10" s="25" t="s">
        <v>188</v>
      </c>
    </row>
    <row r="11" customFormat="false" ht="37.5" hidden="false" customHeight="true" outlineLevel="0" collapsed="false">
      <c r="A11" s="25" t="s">
        <v>189</v>
      </c>
      <c r="B11" s="25" t="s">
        <v>190</v>
      </c>
      <c r="C11" s="25"/>
      <c r="D11" s="25" t="s">
        <v>191</v>
      </c>
      <c r="E11" s="25" t="s">
        <v>163</v>
      </c>
      <c r="F11" s="25" t="s">
        <v>192</v>
      </c>
    </row>
    <row r="12" customFormat="false" ht="37.5" hidden="false" customHeight="true" outlineLevel="0" collapsed="false">
      <c r="A12" s="25" t="s">
        <v>69</v>
      </c>
      <c r="B12" s="25" t="s">
        <v>193</v>
      </c>
      <c r="C12" s="25"/>
      <c r="D12" s="25" t="s">
        <v>194</v>
      </c>
      <c r="E12" s="25" t="s">
        <v>163</v>
      </c>
      <c r="F12" s="25" t="s">
        <v>195</v>
      </c>
    </row>
    <row r="13" customFormat="false" ht="37.5" hidden="false" customHeight="true" outlineLevel="0" collapsed="false">
      <c r="A13" s="27" t="s">
        <v>196</v>
      </c>
      <c r="B13" s="27" t="s">
        <v>197</v>
      </c>
      <c r="C13" s="27"/>
      <c r="D13" s="27" t="s">
        <v>198</v>
      </c>
      <c r="E13" s="27" t="s">
        <v>199</v>
      </c>
      <c r="F13" s="27" t="s">
        <v>200</v>
      </c>
    </row>
    <row r="14" customFormat="false" ht="37.5" hidden="false" customHeight="true" outlineLevel="0" collapsed="false">
      <c r="A14" s="25" t="s">
        <v>201</v>
      </c>
      <c r="B14" s="25" t="s">
        <v>202</v>
      </c>
      <c r="C14" s="25"/>
      <c r="D14" s="25" t="s">
        <v>203</v>
      </c>
      <c r="E14" s="25" t="s">
        <v>163</v>
      </c>
      <c r="F14" s="25" t="s">
        <v>204</v>
      </c>
    </row>
    <row r="15" customFormat="false" ht="37.5" hidden="false" customHeight="true" outlineLevel="0" collapsed="false">
      <c r="A15" s="27" t="s">
        <v>205</v>
      </c>
      <c r="B15" s="27" t="s">
        <v>206</v>
      </c>
      <c r="C15" s="27"/>
      <c r="D15" s="27" t="s">
        <v>207</v>
      </c>
      <c r="E15" s="27" t="s">
        <v>199</v>
      </c>
      <c r="F15" s="27" t="s">
        <v>208</v>
      </c>
    </row>
    <row r="16" customFormat="false" ht="37.5" hidden="false" customHeight="true" outlineLevel="0" collapsed="false">
      <c r="A16" s="27" t="s">
        <v>209</v>
      </c>
      <c r="B16" s="27" t="s">
        <v>210</v>
      </c>
      <c r="C16" s="27"/>
      <c r="D16" s="27" t="s">
        <v>211</v>
      </c>
      <c r="E16" s="27" t="s">
        <v>199</v>
      </c>
      <c r="F16" s="27" t="s">
        <v>212</v>
      </c>
    </row>
    <row r="17" customFormat="false" ht="37.5" hidden="false" customHeight="true" outlineLevel="0" collapsed="false">
      <c r="A17" s="27" t="s">
        <v>44</v>
      </c>
      <c r="B17" s="27" t="s">
        <v>213</v>
      </c>
      <c r="C17" s="27"/>
      <c r="D17" s="27" t="s">
        <v>214</v>
      </c>
      <c r="E17" s="27" t="s">
        <v>199</v>
      </c>
      <c r="F17" s="27" t="s">
        <v>215</v>
      </c>
    </row>
    <row r="18" customFormat="false" ht="37.5" hidden="false" customHeight="true" outlineLevel="0" collapsed="false">
      <c r="A18" s="27" t="s">
        <v>216</v>
      </c>
      <c r="B18" s="27" t="s">
        <v>217</v>
      </c>
      <c r="C18" s="27"/>
      <c r="D18" s="27" t="s">
        <v>214</v>
      </c>
      <c r="E18" s="27" t="s">
        <v>199</v>
      </c>
      <c r="F18" s="27" t="s">
        <v>218</v>
      </c>
    </row>
    <row r="19" customFormat="false" ht="37.5" hidden="false" customHeight="true" outlineLevel="0" collapsed="false">
      <c r="A19" s="27" t="s">
        <v>219</v>
      </c>
      <c r="B19" s="27" t="s">
        <v>220</v>
      </c>
      <c r="C19" s="27"/>
      <c r="D19" s="27" t="s">
        <v>221</v>
      </c>
      <c r="E19" s="27" t="s">
        <v>199</v>
      </c>
      <c r="F19" s="27" t="s">
        <v>222</v>
      </c>
    </row>
    <row r="20" customFormat="false" ht="37.5" hidden="false" customHeight="true" outlineLevel="0" collapsed="false">
      <c r="A20" s="27" t="s">
        <v>223</v>
      </c>
      <c r="B20" s="27" t="s">
        <v>224</v>
      </c>
      <c r="C20" s="27"/>
      <c r="D20" s="27" t="s">
        <v>225</v>
      </c>
      <c r="E20" s="27" t="s">
        <v>226</v>
      </c>
      <c r="F20" s="27" t="s">
        <v>227</v>
      </c>
    </row>
    <row r="21" customFormat="false" ht="37.5" hidden="false" customHeight="true" outlineLevel="0" collapsed="false">
      <c r="A21" s="27" t="s">
        <v>228</v>
      </c>
      <c r="B21" s="27" t="s">
        <v>229</v>
      </c>
      <c r="C21" s="27"/>
      <c r="D21" s="27" t="s">
        <v>230</v>
      </c>
      <c r="E21" s="27" t="s">
        <v>226</v>
      </c>
      <c r="F21" s="27" t="s">
        <v>231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2026-03-18T22:52:15Z</dcterms:created>
  <dc:creator>openpyxl</dc:creator>
  <dc:description/>
  <dc:language>en-US</dc:language>
  <cp:lastModifiedBy/>
  <dcterms:modified xsi:type="dcterms:W3CDTF">2026-03-18T22:52:15Z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